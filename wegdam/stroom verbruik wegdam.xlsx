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jsharink/git/batterij_terugverdientijd_tool/wegdam/"/>
    </mc:Choice>
  </mc:AlternateContent>
  <xr:revisionPtr revIDLastSave="0" documentId="13_ncr:1_{3228B1E8-AAF6-D549-8DC4-3BD88C65BAF1}" xr6:coauthVersionLast="47" xr6:coauthVersionMax="47" xr10:uidLastSave="{00000000-0000-0000-0000-000000000000}"/>
  <bookViews>
    <workbookView xWindow="29400" yWindow="620" windowWidth="38400" windowHeight="19360" xr2:uid="{D5D81166-78E9-424A-9241-272D384B8413}"/>
  </bookViews>
  <sheets>
    <sheet name="huwae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K12" i="1" a="1"/>
  <c r="K12" i="1" s="1"/>
  <c r="K13" i="1" a="1"/>
  <c r="K13" i="1" s="1"/>
  <c r="K14" i="1" a="1"/>
  <c r="K14" i="1"/>
  <c r="K15" i="1" a="1"/>
  <c r="K15" i="1"/>
  <c r="K16" i="1" a="1"/>
  <c r="K16" i="1"/>
  <c r="K17" i="1" a="1"/>
  <c r="K17" i="1" s="1"/>
  <c r="K18" i="1" a="1"/>
  <c r="K18" i="1" s="1"/>
  <c r="K19" i="1" a="1"/>
  <c r="K19" i="1"/>
  <c r="K20" i="1" a="1"/>
  <c r="K20" i="1"/>
  <c r="K21" i="1" a="1"/>
  <c r="K21" i="1"/>
  <c r="K22" i="1" a="1"/>
  <c r="K22" i="1" s="1"/>
  <c r="K23" i="1" a="1"/>
  <c r="K23" i="1" s="1"/>
  <c r="K24" i="1" a="1"/>
  <c r="K24" i="1" s="1"/>
  <c r="K25" i="1" a="1"/>
  <c r="K25" i="1"/>
  <c r="K26" i="1" a="1"/>
  <c r="K26" i="1"/>
  <c r="K27" i="1" a="1"/>
  <c r="K27" i="1" s="1"/>
  <c r="K28" i="1" a="1"/>
  <c r="K28" i="1" s="1"/>
  <c r="K29" i="1" a="1"/>
  <c r="K29" i="1"/>
  <c r="K30" i="1" a="1"/>
  <c r="K30" i="1" s="1"/>
  <c r="K31" i="1" a="1"/>
  <c r="K31" i="1"/>
  <c r="K32" i="1" a="1"/>
  <c r="K32" i="1" s="1"/>
  <c r="K33" i="1" a="1"/>
  <c r="K33" i="1" s="1"/>
  <c r="K34" i="1" a="1"/>
  <c r="K34" i="1"/>
  <c r="K35" i="1" a="1"/>
  <c r="K35" i="1"/>
  <c r="K4" i="1"/>
  <c r="J4" i="1"/>
  <c r="X12" i="1"/>
  <c r="X13" i="1"/>
  <c r="X14" i="1"/>
  <c r="X15" i="1"/>
  <c r="X16" i="1"/>
  <c r="X17" i="1"/>
  <c r="X18" i="1"/>
  <c r="X19" i="1"/>
  <c r="X20" i="1"/>
  <c r="X21" i="1"/>
  <c r="X22" i="1"/>
  <c r="X23" i="1"/>
  <c r="W12" i="1"/>
  <c r="W13" i="1"/>
  <c r="W14" i="1"/>
  <c r="W15" i="1"/>
  <c r="W16" i="1"/>
  <c r="W17" i="1"/>
  <c r="W18" i="1"/>
  <c r="W19" i="1"/>
  <c r="W20" i="1"/>
  <c r="W21" i="1"/>
  <c r="W22" i="1"/>
  <c r="W23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Z12" i="1"/>
  <c r="Z13" i="1"/>
  <c r="Z14" i="1"/>
  <c r="Z15" i="1"/>
  <c r="Z16" i="1"/>
  <c r="Z17" i="1"/>
  <c r="Z18" i="1"/>
  <c r="Z19" i="1"/>
  <c r="Z20" i="1"/>
  <c r="Z21" i="1"/>
  <c r="Z22" i="1"/>
  <c r="Z23" i="1"/>
  <c r="Y12" i="1"/>
  <c r="Y13" i="1"/>
  <c r="Y14" i="1"/>
  <c r="Y15" i="1"/>
  <c r="Y16" i="1"/>
  <c r="Y17" i="1"/>
  <c r="Y18" i="1"/>
  <c r="Y19" i="1"/>
  <c r="Y20" i="1"/>
  <c r="Y21" i="1"/>
  <c r="Y22" i="1"/>
  <c r="Y23" i="1"/>
  <c r="V14" i="1"/>
  <c r="V13" i="1"/>
  <c r="V15" i="1"/>
  <c r="V12" i="1" l="1"/>
  <c r="V21" i="1"/>
  <c r="V23" i="1"/>
  <c r="V20" i="1"/>
  <c r="V22" i="1"/>
  <c r="V19" i="1"/>
  <c r="V18" i="1"/>
  <c r="V17" i="1"/>
  <c r="V1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<sst xmlns="http://schemas.openxmlformats.org/spreadsheetml/2006/main" count="62" uniqueCount="55">
  <si>
    <t>maand</t>
  </si>
  <si>
    <t>jaar</t>
  </si>
  <si>
    <t>kwh pv paklokaal</t>
  </si>
  <si>
    <t>kwh pv stallen</t>
  </si>
  <si>
    <t>kwh consumption</t>
  </si>
  <si>
    <t>kenter import</t>
  </si>
  <si>
    <t>kenter export</t>
  </si>
  <si>
    <t>1773.00</t>
  </si>
  <si>
    <t>330.00</t>
  </si>
  <si>
    <t>kwh grid import</t>
  </si>
  <si>
    <t>kwh grid export</t>
  </si>
  <si>
    <t>2191.00</t>
  </si>
  <si>
    <t>1114.00</t>
  </si>
  <si>
    <t>10555.00</t>
  </si>
  <si>
    <t>16040.00</t>
  </si>
  <si>
    <t>20364.00</t>
  </si>
  <si>
    <t>17359.00</t>
  </si>
  <si>
    <t>17411.00</t>
  </si>
  <si>
    <t>14961.00</t>
  </si>
  <si>
    <t>9487.00</t>
  </si>
  <si>
    <t>4442.00</t>
  </si>
  <si>
    <t>1557.00</t>
  </si>
  <si>
    <t>178.00</t>
  </si>
  <si>
    <t>1062.00</t>
  </si>
  <si>
    <t>4748.00</t>
  </si>
  <si>
    <t>16768.00</t>
  </si>
  <si>
    <t>19009.00</t>
  </si>
  <si>
    <t>21026.00</t>
  </si>
  <si>
    <t>20309.00</t>
  </si>
  <si>
    <t>19257.00</t>
  </si>
  <si>
    <t>17305.00</t>
  </si>
  <si>
    <t>10445.00</t>
  </si>
  <si>
    <t>2970.00</t>
  </si>
  <si>
    <t>gekalibreerde meter</t>
  </si>
  <si>
    <t>niet gekalibreerde meter</t>
  </si>
  <si>
    <t>kwh pv total</t>
  </si>
  <si>
    <t>datum</t>
  </si>
  <si>
    <t>maand2</t>
  </si>
  <si>
    <t>januari</t>
  </si>
  <si>
    <t>februari</t>
  </si>
  <si>
    <t>maart</t>
  </si>
  <si>
    <t>april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</si>
  <si>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</si>
  <si>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</si>
  <si>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</si>
  <si>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</si>
  <si>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</si>
  <si>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</si>
  <si>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</si>
  <si>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</si>
  <si>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kwh pv stal</t>
  </si>
  <si>
    <t>kwh pv nieuw</t>
  </si>
  <si>
    <t>kwh stal</t>
  </si>
  <si>
    <t>kwh paklokaal</t>
  </si>
  <si>
    <t>kwh nieuw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</si>
</sst>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7" fontId="0" fillId="0" borderId="0" xfId="0" applyNumberFormat="1"/>
    <xf numFmtId="0" fontId="0" fillId="0" borderId="0" xfId="0" applyNumberFormat="1"/>
  </cellXfs>
  <cellStyles count="1">
    <cellStyle name="Standaard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huwaei!$V$11</c:f>
              <c:strCache>
                <c:ptCount val="1"/>
                <c:pt idx="0">
                  <c:v>kwh pv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huwaei!$T$12:$T$23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huwaei!$V$12:$V$23</c:f>
              <c:numCache>
                <c:formatCode>General</c:formatCode>
                <c:ptCount val="12"/>
                <c:pt idx="0">
                  <c:v>8399.845988951889</c:v>
                </c:pt>
                <c:pt idx="1">
                  <c:v>12370.544741449517</c:v>
                </c:pt>
                <c:pt idx="2">
                  <c:v>33718.979048636385</c:v>
                </c:pt>
                <c:pt idx="3">
                  <c:v>42601.112240693634</c:v>
                </c:pt>
                <c:pt idx="4">
                  <c:v>54450.119278920065</c:v>
                </c:pt>
                <c:pt idx="5">
                  <c:v>49836.163769976207</c:v>
                </c:pt>
                <c:pt idx="6">
                  <c:v>48551.599522056982</c:v>
                </c:pt>
                <c:pt idx="7">
                  <c:v>45507.035835607414</c:v>
                </c:pt>
                <c:pt idx="8">
                  <c:v>31195.053817027496</c:v>
                </c:pt>
                <c:pt idx="9">
                  <c:v>16822.491469577493</c:v>
                </c:pt>
                <c:pt idx="10">
                  <c:v>8598.059299242057</c:v>
                </c:pt>
                <c:pt idx="11">
                  <c:v>3899.5699878608457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72-F648-B21B-9911F1171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3240448"/>
        <c:axId val="1613242688"/>
      </c:lineChart>
      <c:catAx>
        <c:axId val="16132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13242688"/>
        <c:crosses val="autoZero"/>
        <c:auto val="1"/>
        <c:lblAlgn val="ctr"/>
        <c:lblOffset val="100"/>
        <c:noMultiLvlLbl val="0"/>
      </c:catAx>
      <c:valAx>
        <c:axId val="16132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1324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huwaei!$Y$11</c:f>
              <c:strCache>
                <c:ptCount val="1"/>
                <c:pt idx="0">
                  <c:v>kwh consumption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huwaei!$T$12:$T$23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huwaei!$Y$12:$Y$23</c:f>
              <c:numCache>
                <c:formatCode>General</c:formatCode>
                <c:ptCount val="12"/>
                <c:pt idx="0">
                  <c:v>23411.14</c:v>
                </c:pt>
                <c:pt idx="1">
                  <c:v>20687.18</c:v>
                </c:pt>
                <c:pt idx="2">
                  <c:v>16049.965</c:v>
                </c:pt>
                <c:pt idx="3">
                  <c:v>17128.674999999999</c:v>
                </c:pt>
                <c:pt idx="4">
                  <c:v>23358.674999999999</c:v>
                </c:pt>
                <c:pt idx="5">
                  <c:v>21784.724999999999</c:v>
                </c:pt>
                <c:pt idx="6">
                  <c:v>21690.190000000002</c:v>
                </c:pt>
                <c:pt idx="7">
                  <c:v>23534.325000000001</c:v>
                </c:pt>
                <c:pt idx="8">
                  <c:v>25388.794999999998</c:v>
                </c:pt>
                <c:pt idx="9">
                  <c:v>27975.044999999998</c:v>
                </c:pt>
                <c:pt idx="10">
                  <c:v>21453.8</c:v>
                </c:pt>
                <c:pt idx="11">
                  <c:v>27344.46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1E-D443-863C-BF95E4E53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8123328"/>
        <c:axId val="1618125120"/>
      </c:lineChart>
      <c:catAx>
        <c:axId val="161812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18125120"/>
        <c:crosses val="autoZero"/>
        <c:auto val="1"/>
        <c:lblAlgn val="ctr"/>
        <c:lblOffset val="100"/>
        <c:noMultiLvlLbl val="0"/>
      </c:catAx>
      <c:valAx>
        <c:axId val="161812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1812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huwaei!$Z$11</c:f>
              <c:strCache>
                <c:ptCount val="1"/>
                <c:pt idx="0">
                  <c:v>kenter import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huwaei!$T$12:$T$23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huwaei!$Z$12:$Z$23</c:f>
              <c:numCache>
                <c:formatCode>General</c:formatCode>
                <c:ptCount val="12"/>
                <c:pt idx="0">
                  <c:v>21196.5</c:v>
                </c:pt>
                <c:pt idx="1">
                  <c:v>17436.5</c:v>
                </c:pt>
                <c:pt idx="2">
                  <c:v>13857.5</c:v>
                </c:pt>
                <c:pt idx="3">
                  <c:v>13786</c:v>
                </c:pt>
                <c:pt idx="4">
                  <c:v>17055.5</c:v>
                </c:pt>
                <c:pt idx="5">
                  <c:v>15292</c:v>
                </c:pt>
                <c:pt idx="6">
                  <c:v>16262</c:v>
                </c:pt>
                <c:pt idx="7">
                  <c:v>18264.5</c:v>
                </c:pt>
                <c:pt idx="8">
                  <c:v>20333</c:v>
                </c:pt>
                <c:pt idx="9">
                  <c:v>23615.5</c:v>
                </c:pt>
                <c:pt idx="10">
                  <c:v>19308</c:v>
                </c:pt>
                <c:pt idx="11">
                  <c:v>25540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5-5D40-9707-88F11A3CB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0744320"/>
        <c:axId val="1620746112"/>
      </c:lineChart>
      <c:catAx>
        <c:axId val="162074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20746112"/>
        <c:crosses val="autoZero"/>
        <c:auto val="1"/>
        <c:lblAlgn val="ctr"/>
        <c:lblOffset val="100"/>
        <c:noMultiLvlLbl val="0"/>
      </c:catAx>
      <c:valAx>
        <c:axId val="162074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2074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huwaei!$AA$11</c:f>
              <c:strCache>
                <c:ptCount val="1"/>
                <c:pt idx="0">
                  <c:v>kenter export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huwaei!$T$12:$T$23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huwaei!$AA$12:$AA$23</c:f>
              <c:numCache>
                <c:formatCode>General</c:formatCode>
                <c:ptCount val="12"/>
                <c:pt idx="0">
                  <c:v>1481.5</c:v>
                </c:pt>
                <c:pt idx="1">
                  <c:v>2765</c:v>
                </c:pt>
                <c:pt idx="2">
                  <c:v>13189.5</c:v>
                </c:pt>
                <c:pt idx="3">
                  <c:v>16946</c:v>
                </c:pt>
                <c:pt idx="4">
                  <c:v>19873</c:v>
                </c:pt>
                <c:pt idx="5">
                  <c:v>18233.5</c:v>
                </c:pt>
                <c:pt idx="6">
                  <c:v>17873</c:v>
                </c:pt>
                <c:pt idx="7">
                  <c:v>16029.5</c:v>
                </c:pt>
                <c:pt idx="8">
                  <c:v>9640.5</c:v>
                </c:pt>
                <c:pt idx="9">
                  <c:v>3502</c:v>
                </c:pt>
                <c:pt idx="10">
                  <c:v>1451.5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3E-4E42-B8C8-FBB1B1C71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8603392"/>
        <c:axId val="1618605184"/>
      </c:lineChart>
      <c:catAx>
        <c:axId val="161860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18605184"/>
        <c:crosses val="autoZero"/>
        <c:auto val="1"/>
        <c:lblAlgn val="ctr"/>
        <c:lblOffset val="100"/>
        <c:noMultiLvlLbl val="0"/>
      </c:catAx>
      <c:valAx>
        <c:axId val="161860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1860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Zon opbrengst genormaliseerd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huwaei!$W$11</c:f>
              <c:strCache>
                <c:ptCount val="1"/>
                <c:pt idx="0">
                  <c:v>kwh pv paklokaal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huwaei!$T$12:$T$23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huwaei!$W$12:$W$23</c:f>
              <c:numCache>
                <c:formatCode>General</c:formatCode>
                <c:ptCount val="12"/>
                <c:pt idx="0">
                  <c:v>1.0257797925366432</c:v>
                </c:pt>
                <c:pt idx="1">
                  <c:v>1.7082966412853815</c:v>
                </c:pt>
                <c:pt idx="2">
                  <c:v>4.4397214158246392</c:v>
                </c:pt>
                <c:pt idx="3">
                  <c:v>5.9417051709997404</c:v>
                </c:pt>
                <c:pt idx="4">
                  <c:v>7.8041766495206399</c:v>
                </c:pt>
                <c:pt idx="5">
                  <c:v>7.3076105262802615</c:v>
                </c:pt>
                <c:pt idx="6">
                  <c:v>7.053974253224804</c:v>
                </c:pt>
                <c:pt idx="7">
                  <c:v>6.462463466312995</c:v>
                </c:pt>
                <c:pt idx="8">
                  <c:v>4.288965707603424</c:v>
                </c:pt>
                <c:pt idx="9">
                  <c:v>2.2867208219527457</c:v>
                </c:pt>
                <c:pt idx="10">
                  <c:v>1.1062423170483497</c:v>
                </c:pt>
                <c:pt idx="11">
                  <c:v>0.57434323741037818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7A-CD4B-923C-B5A4BA9F2850}"/>
            </c:ext>
          </c:extLst>
        </c:ser>
        <c:ser>
          <c:idx val="1"/>
          <c:order val="1"/>
          <c:tx>
            <c:strRef>
              <c:f>huwaei!$X$11</c:f>
              <c:strCache>
                <c:ptCount val="1"/>
                <c:pt idx="0">
                  <c:v>kwh pv stal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huwaei!$T$12:$T$23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huwaei!$X$12:$X$23</c:f>
              <c:numCache>
                <c:formatCode>General</c:formatCode>
                <c:ptCount val="12"/>
                <c:pt idx="0">
                  <c:v>1.3214137601100644</c:v>
                </c:pt>
                <c:pt idx="1">
                  <c:v>1.7646483633692158</c:v>
                </c:pt>
                <c:pt idx="2">
                  <c:v>5.0088797453886853</c:v>
                </c:pt>
                <c:pt idx="3">
                  <c:v>6.0230813338359663</c:v>
                </c:pt>
                <c:pt idx="4">
                  <c:v>7.5056878832754119</c:v>
                </c:pt>
                <c:pt idx="5">
                  <c:v>6.7184483840407285</c:v>
                </c:pt>
                <c:pt idx="6">
                  <c:v>6.6051989290267938</c:v>
                </c:pt>
                <c:pt idx="7">
                  <c:v>6.3279390113097174</c:v>
                </c:pt>
                <c:pt idx="8">
                  <c:v>4.4672817514691978</c:v>
                </c:pt>
                <c:pt idx="9">
                  <c:v>2.4330952678097746</c:v>
                </c:pt>
                <c:pt idx="10">
                  <c:v>1.3009523907551144</c:v>
                </c:pt>
                <c:pt idx="11">
                  <c:v>0.52337317960930818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7A-CD4B-923C-B5A4BA9F2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658496"/>
        <c:axId val="1614529408"/>
      </c:lineChart>
      <c:catAx>
        <c:axId val="161965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14529408"/>
        <c:crosses val="autoZero"/>
        <c:auto val="1"/>
        <c:lblAlgn val="ctr"/>
        <c:lblOffset val="100"/>
        <c:noMultiLvlLbl val="0"/>
      </c:catAx>
      <c:valAx>
        <c:axId val="16145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1965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639535</xdr:colOff>
      <xdr:row>24</xdr:row>
      <xdr:rowOff>159204</xdr:rowOff>
    </xdr:from>
    <xdr:to>
      <xdr:col>22</xdr:col>
      <xdr:colOff>267607</xdr:colOff>
      <xdr:row>38</xdr:row>
      <xdr:rowOff>44904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B2E1FA9C-B411-D05D-1342-6AF050B09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650874</xdr:colOff>
      <xdr:row>38</xdr:row>
      <xdr:rowOff>102508</xdr:rowOff>
    </xdr:from>
    <xdr:to>
      <xdr:col>22</xdr:col>
      <xdr:colOff>278946</xdr:colOff>
      <xdr:row>51</xdr:row>
      <xdr:rowOff>192315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06D4C8F8-3FEE-4439-D755-972D0BDC7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480786</xdr:colOff>
      <xdr:row>24</xdr:row>
      <xdr:rowOff>193222</xdr:rowOff>
    </xdr:from>
    <xdr:to>
      <xdr:col>27</xdr:col>
      <xdr:colOff>743857</xdr:colOff>
      <xdr:row>38</xdr:row>
      <xdr:rowOff>78922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7C0649CA-6320-08BD-3CF5-E3A5D34CA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492125</xdr:colOff>
      <xdr:row>38</xdr:row>
      <xdr:rowOff>181883</xdr:rowOff>
    </xdr:from>
    <xdr:to>
      <xdr:col>27</xdr:col>
      <xdr:colOff>755196</xdr:colOff>
      <xdr:row>52</xdr:row>
      <xdr:rowOff>67583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8A804DF2-F270-6FCC-8696-9969D4137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83910</xdr:colOff>
      <xdr:row>25</xdr:row>
      <xdr:rowOff>45810</xdr:rowOff>
    </xdr:from>
    <xdr:to>
      <xdr:col>33</xdr:col>
      <xdr:colOff>517071</xdr:colOff>
      <xdr:row>38</xdr:row>
      <xdr:rowOff>135618</xdr:rowOff>
    </xdr:to>
    <xdr:graphicFrame macro="">
      <xdr:nvGraphicFramePr>
        <xdr:cNvPr id="15" name="Grafiek 14">
          <a:extLst>
            <a:ext uri="{FF2B5EF4-FFF2-40B4-BE49-F238E27FC236}">
              <a16:creationId xmlns:a16="http://schemas.microsoft.com/office/drawing/2014/main" id="{84ECCB00-EC24-3727-C96F-3CCEA104C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2F6570-4D2D-D642-8113-0BC35D929334}" name="Tabel2" displayName="Tabel2" ref="E11:P35" totalsRowShown="0">
  <autoFilter ref="E11:P35" xr:uid="{072F6570-4D2D-D642-8113-0BC35D929334}"/>
  <tableColumns count="12">
    <tableColumn id="11" xr3:uid="{699428FF-0BFE-3949-9688-6A9BC107D7EB}" name="datum"/>
    <tableColumn id="1" xr3:uid="{62BF5F11-C090-534E-A72A-D4CFF43C998C}" name="jaar"/>
    <tableColumn id="2" xr3:uid="{EF34C5E5-07C5-3244-A867-3E3CEC08374F}" name="maand"/>
    <tableColumn id="10" xr3:uid="{7D79E21F-8169-F644-9AB4-70903017BEBB}" name="kwh pv total" dataDxfId="0">
      <calculatedColumnFormula>Tabel2[[#This Row],[kwh pv paklokaal]]+Tabel2[[#This Row],[kwh pv stallen]] + Tabel2[[#This Row],[kwh pv nieuw]]</calculatedColumnFormula>
    </tableColumn>
    <tableColumn id="3" xr3:uid="{45563BB5-9A67-9140-9915-BCD51B49A760}" name="kwh pv paklokaal"/>
    <tableColumn id="4" xr3:uid="{E52F1A82-A37A-A547-B0A8-57302A8C4394}" name="kwh pv stallen"/>
    <tableColumn id="12" xr3:uid="{E82364BC-4DAA-1043-9723-E50351CDDA42}" name="kwh pv nieuw" dataDxfId="1">
      <calculatedColumnFormula array="1">Tabel2[[#This Row],[kwh pv stallen]]/Tabel4[kwh stal]*Tabel4[kwh nieuw]</calculatedColumnFormula>
    </tableColumn>
    <tableColumn id="5" xr3:uid="{E55B1C2B-B117-104A-BE8B-86941E1EDF12}" name="kwh consumption"/>
    <tableColumn id="6" xr3:uid="{09E2AF6E-8D33-D543-921B-DC822DD225F2}" name="kwh grid import"/>
    <tableColumn id="7" xr3:uid="{0192F639-19DB-E941-A073-D9267A9FEB87}" name="kwh grid export"/>
    <tableColumn id="8" xr3:uid="{097197FB-77DF-A44E-B1E9-F7A6BECE9BAA}" name="kenter import"/>
    <tableColumn id="9" xr3:uid="{88FCFA25-F51E-8948-B9D7-FE5F53AD62C4}" name="kenter expor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79889E-05B7-174E-8A9E-54B563D68BE2}" name="Tabel1" displayName="Tabel1" ref="T11:AA23" totalsRowShown="0">
  <autoFilter ref="T11:AA23" xr:uid="{4079889E-05B7-174E-8A9E-54B563D68BE2}"/>
  <tableColumns count="8">
    <tableColumn id="6" xr3:uid="{3E6B92D7-39F6-DB42-B8A2-F3837D18D886}" name="maand" dataDxfId="4"/>
    <tableColumn id="1" xr3:uid="{FA0DCFEB-A1B2-9845-981A-653DA48E8EF2}" name="maand2"/>
    <tableColumn id="2" xr3:uid="{E00F2503-F55C-4F48-A26A-CBA9686A2A05}" name="kwh pv total" dataDxfId="8">
      <calculatedColumnFormula>AVERAGEIF(Tabel2[maand],Tabel1[[#This Row],[maand2]],Tabel2[kwh pv total])</calculatedColumnFormula>
    </tableColumn>
    <tableColumn id="8" xr3:uid="{0F9D9DC1-97AC-1444-B0F9-F41F393DC890}" name="kwh pv paklokaal" dataDxfId="3">
      <calculatedColumnFormula>AVERAGEIF(Tabel2[maand],Tabel1[[#This Row],[maand2]],Tabel2[kwh pv paklokaal]) / SUM(Tabel2[kwh pv paklokaal]) * 100</calculatedColumnFormula>
    </tableColumn>
    <tableColumn id="9" xr3:uid="{3AAC2DAD-1B2E-1B48-961B-354D9080003B}" name="kwh pv stal" dataDxfId="2">
      <calculatedColumnFormula>AVERAGEIF(Tabel2[maand],Tabel1[[#This Row],[maand2]],Tabel2[kwh pv stallen]) / SUM(Tabel2[kwh pv stallen])*100</calculatedColumnFormula>
    </tableColumn>
    <tableColumn id="3" xr3:uid="{E70A291F-8AC9-AB43-A8A0-14D724DC7678}" name="kwh consumption" dataDxfId="7">
      <calculatedColumnFormula>AVERAGEIF(Tabel2[maand],Tabel1[[#This Row],[maand2]],Tabel2[kwh consumption])</calculatedColumnFormula>
    </tableColumn>
    <tableColumn id="4" xr3:uid="{F30000DC-A8F7-4145-981D-7FF96EE7BF03}" name="kenter import" dataDxfId="6">
      <calculatedColumnFormula>AVERAGEIF(Tabel2[maand],Tabel1[[#This Row],[maand2]],Tabel2[kenter import])</calculatedColumnFormula>
    </tableColumn>
    <tableColumn id="5" xr3:uid="{328A7554-A1A0-4041-A0DD-B2D3BD7E0C75}" name="kenter export" dataDxfId="5">
      <calculatedColumnFormula>AVERAGEIF(Tabel2[maand],Tabel1[[#This Row],[maand2]],Tabel2[kenter export])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7990EB-5066-D24D-86AC-3F0AE46C2674}" name="Tabel4" displayName="Tabel4" ref="J3:L4" totalsRowShown="0">
  <autoFilter ref="J3:L4" xr:uid="{517990EB-5066-D24D-86AC-3F0AE46C2674}"/>
  <tableColumns count="3">
    <tableColumn id="1" xr3:uid="{D98675E4-C792-774C-B6F0-F9AEBE0DF45B}" name="kwh stal">
      <calculatedColumnFormula>SUM(Tabel2[kwh pv stallen])/2</calculatedColumnFormula>
    </tableColumn>
    <tableColumn id="2" xr3:uid="{44657755-0951-5642-B6AD-521FFDA3AEC6}" name="kwh paklokaal">
      <calculatedColumnFormula>SUM(Tabel2[kwh pv paklokaal])/2</calculatedColumnFormula>
    </tableColumn>
    <tableColumn id="3" xr3:uid="{9DD8CED7-7C9F-F943-9E90-250ADCC1E194}" name="kwh nieuw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3071-0869-8549-A074-29D1001A7EE5}">
  <dimension ref="D3:AA35"/>
  <sheetViews>
    <sheetView tabSelected="1" topLeftCell="B3" zoomScale="112" workbookViewId="0">
      <selection activeCell="F11" sqref="E11:P35"/>
    </sheetView>
  </sheetViews>
  <sheetFormatPr baseColWidth="10" defaultRowHeight="16" x14ac:dyDescent="0.2"/>
  <cols>
    <col min="7" max="7" width="24.83203125" bestFit="1" customWidth="1"/>
    <col min="8" max="8" width="21.33203125" customWidth="1"/>
    <col min="9" max="9" width="17.5" customWidth="1"/>
    <col min="10" max="10" width="15.5" bestFit="1" customWidth="1"/>
    <col min="11" max="11" width="16.1640625" customWidth="1"/>
    <col min="12" max="12" width="14.33203125" customWidth="1"/>
    <col min="13" max="13" width="14.1640625" customWidth="1"/>
    <col min="20" max="20" width="12.33203125" customWidth="1"/>
    <col min="21" max="21" width="17.33203125" customWidth="1"/>
    <col min="22" max="22" width="13.5" customWidth="1"/>
    <col min="23" max="23" width="13.1640625" customWidth="1"/>
  </cols>
  <sheetData>
    <row r="3" spans="4:27" x14ac:dyDescent="0.2">
      <c r="J3" t="s">
        <v>52</v>
      </c>
      <c r="K3" t="s">
        <v>53</v>
      </c>
      <c r="L3" t="s">
        <v>54</v>
      </c>
    </row>
    <row r="4" spans="4:27" x14ac:dyDescent="0.2">
      <c r="J4">
        <f>SUM(Tabel2[kwh pv stallen])/2</f>
        <v>116585.55000000005</v>
      </c>
      <c r="K4">
        <f>SUM(Tabel2[kwh pv paklokaal])/2</f>
        <v>170365.02499999999</v>
      </c>
      <c r="L4">
        <v>69000</v>
      </c>
    </row>
    <row r="10" spans="4:27" x14ac:dyDescent="0.2">
      <c r="J10" t="s">
        <v>34</v>
      </c>
      <c r="L10" t="s">
        <v>33</v>
      </c>
    </row>
    <row r="11" spans="4:27" x14ac:dyDescent="0.2">
      <c r="D11" t="s">
        <v>36</v>
      </c>
      <c r="E11" t="s">
        <v>36</v>
      </c>
      <c r="F11" t="s">
        <v>1</v>
      </c>
      <c r="G11" t="s">
        <v>0</v>
      </c>
      <c r="H11" t="s">
        <v>35</v>
      </c>
      <c r="I11" t="s">
        <v>2</v>
      </c>
      <c r="J11" t="s">
        <v>3</v>
      </c>
      <c r="K11" t="s">
        <v>51</v>
      </c>
      <c r="L11" t="s">
        <v>4</v>
      </c>
      <c r="M11" t="s">
        <v>9</v>
      </c>
      <c r="N11" t="s">
        <v>10</v>
      </c>
      <c r="O11" t="s">
        <v>5</v>
      </c>
      <c r="P11" t="s">
        <v>6</v>
      </c>
      <c r="T11" t="s">
        <v>0</v>
      </c>
      <c r="U11" t="s">
        <v>37</v>
      </c>
      <c r="V11" t="s">
        <v>35</v>
      </c>
      <c r="W11" t="s">
        <v>2</v>
      </c>
      <c r="X11" t="s">
        <v>50</v>
      </c>
      <c r="Y11" t="s">
        <v>4</v>
      </c>
      <c r="Z11" t="s">
        <v>5</v>
      </c>
      <c r="AA11" t="s">
        <v>6</v>
      </c>
    </row>
    <row r="12" spans="4:27" x14ac:dyDescent="0.2">
      <c r="E12" s="2">
        <v>45231</v>
      </c>
      <c r="F12">
        <v>2023</v>
      </c>
      <c r="G12">
        <v>11</v>
      </c>
      <c r="H12">
        <f>Tabel2[[#This Row],[kwh pv paklokaal]]+Tabel2[[#This Row],[kwh pv stallen]] + Tabel2[[#This Row],[kwh pv nieuw]]</f>
        <v>8561.051203918496</v>
      </c>
      <c r="I12">
        <v>3992.12</v>
      </c>
      <c r="J12">
        <v>2870.22</v>
      </c>
      <c r="K12" cm="1">
        <f t="array" ref="K12">Tabel2[[#This Row],[kwh pv stallen]]/Tabel4[kwh stal]*Tabel4[kwh nieuw]</f>
        <v>1698.7112039184951</v>
      </c>
      <c r="L12" s="1">
        <v>17257.12</v>
      </c>
      <c r="M12">
        <v>15038</v>
      </c>
      <c r="N12" t="s">
        <v>7</v>
      </c>
      <c r="O12">
        <v>14512</v>
      </c>
      <c r="P12">
        <v>1538</v>
      </c>
      <c r="T12" s="3" t="s">
        <v>38</v>
      </c>
      <c r="U12">
        <v>1</v>
      </c>
      <c r="V12">
        <f>AVERAGEIF(Tabel2[maand],Tabel1[[#This Row],[maand2]],Tabel2[kwh pv total])</f>
        <v>8399.845988951889</v>
      </c>
      <c r="W12">
        <f>AVERAGEIF(Tabel2[maand],Tabel1[[#This Row],[maand2]],Tabel2[kwh pv paklokaal]) / SUM(Tabel2[kwh pv paklokaal]) * 100</f>
        <v>1.0257797925366432</v>
      </c>
      <c r="X12">
        <f>AVERAGEIF(Tabel2[maand],Tabel1[[#This Row],[maand2]],Tabel2[kwh pv stallen]) / SUM(Tabel2[kwh pv stallen])*100</f>
        <v>1.3214137601100644</v>
      </c>
      <c r="Y12">
        <f>AVERAGEIF(Tabel2[maand],Tabel1[[#This Row],[maand2]],Tabel2[kwh consumption])</f>
        <v>23411.14</v>
      </c>
      <c r="Z12">
        <f>AVERAGEIF(Tabel2[maand],Tabel1[[#This Row],[maand2]],Tabel2[kenter import])</f>
        <v>21196.5</v>
      </c>
      <c r="AA12">
        <f>AVERAGEIF(Tabel2[maand],Tabel1[[#This Row],[maand2]],Tabel2[kenter export])</f>
        <v>1481.5</v>
      </c>
    </row>
    <row r="13" spans="4:27" x14ac:dyDescent="0.2">
      <c r="E13" s="2">
        <v>45261</v>
      </c>
      <c r="F13">
        <v>2023</v>
      </c>
      <c r="G13">
        <v>12</v>
      </c>
      <c r="H13">
        <f>Tabel2[[#This Row],[kwh pv paklokaal]]+Tabel2[[#This Row],[kwh pv stallen]] + Tabel2[[#This Row],[kwh pv nieuw]]</f>
        <v>4065.8881055585362</v>
      </c>
      <c r="I13">
        <v>2047.61</v>
      </c>
      <c r="J13">
        <v>1267.8900000000001</v>
      </c>
      <c r="K13" cm="1">
        <f t="array" ref="K13">Tabel2[[#This Row],[kwh pv stallen]]/Tabel4[kwh stal]*Tabel4[kwh nieuw]</f>
        <v>750.38810555853604</v>
      </c>
      <c r="L13">
        <v>21370.61</v>
      </c>
      <c r="M13">
        <v>19653</v>
      </c>
      <c r="N13" t="s">
        <v>8</v>
      </c>
      <c r="O13">
        <v>19396</v>
      </c>
      <c r="P13">
        <v>277</v>
      </c>
      <c r="T13" s="3" t="s">
        <v>39</v>
      </c>
      <c r="U13">
        <v>2</v>
      </c>
      <c r="V13">
        <f>AVERAGEIF(Tabel2[maand],Tabel1[[#This Row],[maand2]],Tabel2[kwh pv total])</f>
        <v>12370.544741449517</v>
      </c>
      <c r="W13">
        <f>AVERAGEIF(Tabel2[maand],Tabel1[[#This Row],[maand2]],Tabel2[kwh pv paklokaal]) / SUM(Tabel2[kwh pv paklokaal]) * 100</f>
        <v>1.7082966412853815</v>
      </c>
      <c r="X13">
        <f>AVERAGEIF(Tabel2[maand],Tabel1[[#This Row],[maand2]],Tabel2[kwh pv stallen]) / SUM(Tabel2[kwh pv stallen])*100</f>
        <v>1.7646483633692158</v>
      </c>
      <c r="Y13">
        <f>AVERAGEIF(Tabel2[maand],Tabel1[[#This Row],[maand2]],Tabel2[kwh consumption])</f>
        <v>20687.18</v>
      </c>
      <c r="Z13">
        <f>AVERAGEIF(Tabel2[maand],Tabel1[[#This Row],[maand2]],Tabel2[kenter import])</f>
        <v>17436.5</v>
      </c>
      <c r="AA13">
        <f>AVERAGEIF(Tabel2[maand],Tabel1[[#This Row],[maand2]],Tabel2[kenter export])</f>
        <v>2765</v>
      </c>
    </row>
    <row r="14" spans="4:27" x14ac:dyDescent="0.2">
      <c r="E14" s="2">
        <v>45292</v>
      </c>
      <c r="F14">
        <v>2024</v>
      </c>
      <c r="G14">
        <v>1</v>
      </c>
      <c r="H14">
        <f>Tabel2[[#This Row],[kwh pv paklokaal]]+Tabel2[[#This Row],[kwh pv stallen]] + Tabel2[[#This Row],[kwh pv nieuw]]</f>
        <v>9282.996882430969</v>
      </c>
      <c r="I14">
        <v>3756.94</v>
      </c>
      <c r="J14">
        <v>3471.49</v>
      </c>
      <c r="K14" cm="1">
        <f t="array" ref="K14">Tabel2[[#This Row],[kwh pv stallen]]/Tabel4[kwh stal]*Tabel4[kwh nieuw]</f>
        <v>2054.5668824309691</v>
      </c>
      <c r="L14">
        <v>18843.939999999999</v>
      </c>
      <c r="M14">
        <v>17278</v>
      </c>
      <c r="N14" t="s">
        <v>11</v>
      </c>
      <c r="O14">
        <v>16700</v>
      </c>
      <c r="P14">
        <v>1977</v>
      </c>
      <c r="T14" s="3" t="s">
        <v>40</v>
      </c>
      <c r="U14">
        <v>3</v>
      </c>
      <c r="V14">
        <f>AVERAGEIF(Tabel2[maand],Tabel1[[#This Row],[maand2]],Tabel2[kwh pv total])</f>
        <v>33718.979048636385</v>
      </c>
      <c r="W14">
        <f>AVERAGEIF(Tabel2[maand],Tabel1[[#This Row],[maand2]],Tabel2[kwh pv paklokaal]) / SUM(Tabel2[kwh pv paklokaal]) * 100</f>
        <v>4.4397214158246392</v>
      </c>
      <c r="X14">
        <f>AVERAGEIF(Tabel2[maand],Tabel1[[#This Row],[maand2]],Tabel2[kwh pv stallen]) / SUM(Tabel2[kwh pv stallen])*100</f>
        <v>5.0088797453886853</v>
      </c>
      <c r="Y14">
        <f>AVERAGEIF(Tabel2[maand],Tabel1[[#This Row],[maand2]],Tabel2[kwh consumption])</f>
        <v>16049.965</v>
      </c>
      <c r="Z14">
        <f>AVERAGEIF(Tabel2[maand],Tabel1[[#This Row],[maand2]],Tabel2[kenter import])</f>
        <v>13857.5</v>
      </c>
      <c r="AA14">
        <f>AVERAGEIF(Tabel2[maand],Tabel1[[#This Row],[maand2]],Tabel2[kenter export])</f>
        <v>13189.5</v>
      </c>
    </row>
    <row r="15" spans="4:27" x14ac:dyDescent="0.2">
      <c r="E15" s="2">
        <v>45323</v>
      </c>
      <c r="F15">
        <v>2024</v>
      </c>
      <c r="G15">
        <v>2</v>
      </c>
      <c r="H15">
        <f>Tabel2[[#This Row],[kwh pv paklokaal]]+Tabel2[[#This Row],[kwh pv stallen]] + Tabel2[[#This Row],[kwh pv nieuw]]</f>
        <v>8686.0913451366814</v>
      </c>
      <c r="I15">
        <v>4731.6899999999996</v>
      </c>
      <c r="J15">
        <v>2484.17</v>
      </c>
      <c r="K15" cm="1">
        <f t="array" ref="K15">Tabel2[[#This Row],[kwh pv stallen]]/Tabel4[kwh stal]*Tabel4[kwh nieuw]</f>
        <v>1470.2313451366822</v>
      </c>
      <c r="L15">
        <v>20691.689999999999</v>
      </c>
      <c r="M15">
        <v>17074</v>
      </c>
      <c r="N15" t="s">
        <v>12</v>
      </c>
      <c r="O15">
        <v>16623</v>
      </c>
      <c r="P15">
        <v>996</v>
      </c>
      <c r="T15" s="3" t="s">
        <v>41</v>
      </c>
      <c r="U15">
        <v>4</v>
      </c>
      <c r="V15">
        <f>AVERAGEIF(Tabel2[maand],Tabel1[[#This Row],[maand2]],Tabel2[kwh pv total])</f>
        <v>42601.112240693634</v>
      </c>
      <c r="W15">
        <f>AVERAGEIF(Tabel2[maand],Tabel1[[#This Row],[maand2]],Tabel2[kwh pv paklokaal]) / SUM(Tabel2[kwh pv paklokaal]) * 100</f>
        <v>5.9417051709997404</v>
      </c>
      <c r="X15">
        <f>AVERAGEIF(Tabel2[maand],Tabel1[[#This Row],[maand2]],Tabel2[kwh pv stallen]) / SUM(Tabel2[kwh pv stallen])*100</f>
        <v>6.0230813338359663</v>
      </c>
      <c r="Y15">
        <f>AVERAGEIF(Tabel2[maand],Tabel1[[#This Row],[maand2]],Tabel2[kwh consumption])</f>
        <v>17128.674999999999</v>
      </c>
      <c r="Z15">
        <f>AVERAGEIF(Tabel2[maand],Tabel1[[#This Row],[maand2]],Tabel2[kenter import])</f>
        <v>13786</v>
      </c>
      <c r="AA15">
        <f>AVERAGEIF(Tabel2[maand],Tabel1[[#This Row],[maand2]],Tabel2[kenter export])</f>
        <v>16946</v>
      </c>
    </row>
    <row r="16" spans="4:27" x14ac:dyDescent="0.2">
      <c r="E16" s="2">
        <v>45352</v>
      </c>
      <c r="F16">
        <v>2024</v>
      </c>
      <c r="G16">
        <v>3</v>
      </c>
      <c r="H16">
        <f>Tabel2[[#This Row],[kwh pv paklokaal]]+Tabel2[[#This Row],[kwh pv stallen]] + Tabel2[[#This Row],[kwh pv nieuw]]</f>
        <v>27070.415920150481</v>
      </c>
      <c r="I16">
        <v>12748.79</v>
      </c>
      <c r="J16">
        <v>8996.9</v>
      </c>
      <c r="K16" cm="1">
        <f t="array" ref="K16">Tabel2[[#This Row],[kwh pv stallen]]/Tabel4[kwh stal]*Tabel4[kwh nieuw]</f>
        <v>5324.7259201504794</v>
      </c>
      <c r="L16">
        <v>15513.79</v>
      </c>
      <c r="M16">
        <v>13320</v>
      </c>
      <c r="N16" t="s">
        <v>13</v>
      </c>
      <c r="O16">
        <v>12455</v>
      </c>
      <c r="P16">
        <v>10168</v>
      </c>
      <c r="T16" s="3" t="s">
        <v>42</v>
      </c>
      <c r="U16">
        <v>5</v>
      </c>
      <c r="V16">
        <f>AVERAGEIF(Tabel2[maand],Tabel1[[#This Row],[maand2]],Tabel2[kwh pv total])</f>
        <v>54450.119278920065</v>
      </c>
      <c r="W16">
        <f>AVERAGEIF(Tabel2[maand],Tabel1[[#This Row],[maand2]],Tabel2[kwh pv paklokaal]) / SUM(Tabel2[kwh pv paklokaal]) * 100</f>
        <v>7.8041766495206399</v>
      </c>
      <c r="X16">
        <f>AVERAGEIF(Tabel2[maand],Tabel1[[#This Row],[maand2]],Tabel2[kwh pv stallen]) / SUM(Tabel2[kwh pv stallen])*100</f>
        <v>7.5056878832754119</v>
      </c>
      <c r="Y16">
        <f>AVERAGEIF(Tabel2[maand],Tabel1[[#This Row],[maand2]],Tabel2[kwh consumption])</f>
        <v>23358.674999999999</v>
      </c>
      <c r="Z16">
        <f>AVERAGEIF(Tabel2[maand],Tabel1[[#This Row],[maand2]],Tabel2[kenter import])</f>
        <v>17055.5</v>
      </c>
      <c r="AA16">
        <f>AVERAGEIF(Tabel2[maand],Tabel1[[#This Row],[maand2]],Tabel2[kenter export])</f>
        <v>19873</v>
      </c>
    </row>
    <row r="17" spans="5:27" x14ac:dyDescent="0.2">
      <c r="E17" s="2">
        <v>45383</v>
      </c>
      <c r="F17">
        <v>2024</v>
      </c>
      <c r="G17">
        <v>4</v>
      </c>
      <c r="H17">
        <f>Tabel2[[#This Row],[kwh pv paklokaal]]+Tabel2[[#This Row],[kwh pv stallen]] + Tabel2[[#This Row],[kwh pv nieuw]]</f>
        <v>37769.604540339686</v>
      </c>
      <c r="I17">
        <v>18358.849999999999</v>
      </c>
      <c r="J17">
        <v>12193.91</v>
      </c>
      <c r="K17" cm="1">
        <f t="array" ref="K17">Tabel2[[#This Row],[kwh pv stallen]]/Tabel4[kwh stal]*Tabel4[kwh nieuw]</f>
        <v>7216.8445403396872</v>
      </c>
      <c r="L17">
        <v>12753.85</v>
      </c>
      <c r="M17">
        <v>10435</v>
      </c>
      <c r="N17" t="s">
        <v>14</v>
      </c>
      <c r="O17">
        <v>9567</v>
      </c>
      <c r="P17">
        <v>15439</v>
      </c>
      <c r="T17" s="3" t="s">
        <v>43</v>
      </c>
      <c r="U17">
        <v>6</v>
      </c>
      <c r="V17">
        <f>AVERAGEIF(Tabel2[maand],Tabel1[[#This Row],[maand2]],Tabel2[kwh pv total])</f>
        <v>49836.163769976207</v>
      </c>
      <c r="W17">
        <f>AVERAGEIF(Tabel2[maand],Tabel1[[#This Row],[maand2]],Tabel2[kwh pv paklokaal]) / SUM(Tabel2[kwh pv paklokaal]) * 100</f>
        <v>7.3076105262802615</v>
      </c>
      <c r="X17">
        <f>AVERAGEIF(Tabel2[maand],Tabel1[[#This Row],[maand2]],Tabel2[kwh pv stallen]) / SUM(Tabel2[kwh pv stallen])*100</f>
        <v>6.7184483840407285</v>
      </c>
      <c r="Y17">
        <f>AVERAGEIF(Tabel2[maand],Tabel1[[#This Row],[maand2]],Tabel2[kwh consumption])</f>
        <v>21784.724999999999</v>
      </c>
      <c r="Z17">
        <f>AVERAGEIF(Tabel2[maand],Tabel1[[#This Row],[maand2]],Tabel2[kenter import])</f>
        <v>15292</v>
      </c>
      <c r="AA17">
        <f>AVERAGEIF(Tabel2[maand],Tabel1[[#This Row],[maand2]],Tabel2[kenter export])</f>
        <v>18233.5</v>
      </c>
    </row>
    <row r="18" spans="5:27" x14ac:dyDescent="0.2">
      <c r="E18" s="2">
        <v>45413</v>
      </c>
      <c r="F18">
        <v>2024</v>
      </c>
      <c r="G18">
        <v>5</v>
      </c>
      <c r="H18">
        <f>Tabel2[[#This Row],[kwh pv paklokaal]]+Tabel2[[#This Row],[kwh pv stallen]] + Tabel2[[#This Row],[kwh pv nieuw]]</f>
        <v>51762.356700260018</v>
      </c>
      <c r="I18">
        <v>25377.91</v>
      </c>
      <c r="J18">
        <v>16574.810000000001</v>
      </c>
      <c r="K18" cm="1">
        <f t="array" ref="K18">Tabel2[[#This Row],[kwh pv stallen]]/Tabel4[kwh stal]*Tabel4[kwh nieuw]</f>
        <v>9809.63670026002</v>
      </c>
      <c r="L18">
        <v>20422.91</v>
      </c>
      <c r="M18">
        <v>15409</v>
      </c>
      <c r="N18" t="s">
        <v>15</v>
      </c>
      <c r="O18">
        <v>15338</v>
      </c>
      <c r="P18">
        <v>19466</v>
      </c>
      <c r="T18" s="3" t="s">
        <v>44</v>
      </c>
      <c r="U18">
        <v>7</v>
      </c>
      <c r="V18">
        <f>AVERAGEIF(Tabel2[maand],Tabel1[[#This Row],[maand2]],Tabel2[kwh pv total])</f>
        <v>48551.599522056982</v>
      </c>
      <c r="W18">
        <f>AVERAGEIF(Tabel2[maand],Tabel1[[#This Row],[maand2]],Tabel2[kwh pv paklokaal]) / SUM(Tabel2[kwh pv paklokaal]) * 100</f>
        <v>7.053974253224804</v>
      </c>
      <c r="X18">
        <f>AVERAGEIF(Tabel2[maand],Tabel1[[#This Row],[maand2]],Tabel2[kwh pv stallen]) / SUM(Tabel2[kwh pv stallen])*100</f>
        <v>6.6051989290267938</v>
      </c>
      <c r="Y18">
        <f>AVERAGEIF(Tabel2[maand],Tabel1[[#This Row],[maand2]],Tabel2[kwh consumption])</f>
        <v>21690.190000000002</v>
      </c>
      <c r="Z18">
        <f>AVERAGEIF(Tabel2[maand],Tabel1[[#This Row],[maand2]],Tabel2[kenter import])</f>
        <v>16262</v>
      </c>
      <c r="AA18">
        <f>AVERAGEIF(Tabel2[maand],Tabel1[[#This Row],[maand2]],Tabel2[kenter export])</f>
        <v>17873</v>
      </c>
    </row>
    <row r="19" spans="5:27" x14ac:dyDescent="0.2">
      <c r="E19" s="2">
        <v>45444</v>
      </c>
      <c r="F19">
        <v>2024</v>
      </c>
      <c r="G19">
        <v>6</v>
      </c>
      <c r="H19">
        <f>Tabel2[[#This Row],[kwh pv paklokaal]]+Tabel2[[#This Row],[kwh pv stallen]] + Tabel2[[#This Row],[kwh pv nieuw]]</f>
        <v>48305.38169904417</v>
      </c>
      <c r="I19">
        <v>23821.21</v>
      </c>
      <c r="J19">
        <v>15381.05</v>
      </c>
      <c r="K19" cm="1">
        <f t="array" ref="K19">Tabel2[[#This Row],[kwh pv stallen]]/Tabel4[kwh stal]*Tabel4[kwh nieuw]</f>
        <v>9103.1216990441735</v>
      </c>
      <c r="L19">
        <v>22862.21</v>
      </c>
      <c r="M19">
        <v>16400</v>
      </c>
      <c r="N19" t="s">
        <v>16</v>
      </c>
      <c r="O19">
        <v>16200</v>
      </c>
      <c r="P19">
        <v>16578</v>
      </c>
      <c r="T19" s="3" t="s">
        <v>45</v>
      </c>
      <c r="U19">
        <v>8</v>
      </c>
      <c r="V19">
        <f>AVERAGEIF(Tabel2[maand],Tabel1[[#This Row],[maand2]],Tabel2[kwh pv total])</f>
        <v>45507.035835607414</v>
      </c>
      <c r="W19">
        <f>AVERAGEIF(Tabel2[maand],Tabel1[[#This Row],[maand2]],Tabel2[kwh pv paklokaal]) / SUM(Tabel2[kwh pv paklokaal]) * 100</f>
        <v>6.462463466312995</v>
      </c>
      <c r="X19">
        <f>AVERAGEIF(Tabel2[maand],Tabel1[[#This Row],[maand2]],Tabel2[kwh pv stallen]) / SUM(Tabel2[kwh pv stallen])*100</f>
        <v>6.3279390113097174</v>
      </c>
      <c r="Y19">
        <f>AVERAGEIF(Tabel2[maand],Tabel1[[#This Row],[maand2]],Tabel2[kwh consumption])</f>
        <v>23534.325000000001</v>
      </c>
      <c r="Z19">
        <f>AVERAGEIF(Tabel2[maand],Tabel1[[#This Row],[maand2]],Tabel2[kenter import])</f>
        <v>18264.5</v>
      </c>
      <c r="AA19">
        <f>AVERAGEIF(Tabel2[maand],Tabel1[[#This Row],[maand2]],Tabel2[kenter export])</f>
        <v>16029.5</v>
      </c>
    </row>
    <row r="20" spans="5:27" x14ac:dyDescent="0.2">
      <c r="E20" s="2">
        <v>45474</v>
      </c>
      <c r="F20">
        <v>2024</v>
      </c>
      <c r="G20">
        <v>7</v>
      </c>
      <c r="H20">
        <f>Tabel2[[#This Row],[kwh pv paklokaal]]+Tabel2[[#This Row],[kwh pv stallen]] + Tabel2[[#This Row],[kwh pv nieuw]]</f>
        <v>50192.730998241212</v>
      </c>
      <c r="I20">
        <v>24386.95</v>
      </c>
      <c r="J20">
        <v>16211.29</v>
      </c>
      <c r="K20" cm="1">
        <f t="array" ref="K20">Tabel2[[#This Row],[kwh pv stallen]]/Tabel4[kwh stal]*Tabel4[kwh nieuw]</f>
        <v>9594.4909982412028</v>
      </c>
      <c r="L20">
        <v>25848.95</v>
      </c>
      <c r="M20">
        <v>18873</v>
      </c>
      <c r="N20" t="s">
        <v>17</v>
      </c>
      <c r="O20">
        <v>19215</v>
      </c>
      <c r="P20">
        <v>16384</v>
      </c>
      <c r="T20" s="3" t="s">
        <v>46</v>
      </c>
      <c r="U20">
        <v>9</v>
      </c>
      <c r="V20">
        <f>AVERAGEIF(Tabel2[maand],Tabel1[[#This Row],[maand2]],Tabel2[kwh pv total])</f>
        <v>31195.053817027496</v>
      </c>
      <c r="W20">
        <f>AVERAGEIF(Tabel2[maand],Tabel1[[#This Row],[maand2]],Tabel2[kwh pv paklokaal]) / SUM(Tabel2[kwh pv paklokaal]) * 100</f>
        <v>4.288965707603424</v>
      </c>
      <c r="X20">
        <f>AVERAGEIF(Tabel2[maand],Tabel1[[#This Row],[maand2]],Tabel2[kwh pv stallen]) / SUM(Tabel2[kwh pv stallen])*100</f>
        <v>4.4672817514691978</v>
      </c>
      <c r="Y20">
        <f>AVERAGEIF(Tabel2[maand],Tabel1[[#This Row],[maand2]],Tabel2[kwh consumption])</f>
        <v>25388.794999999998</v>
      </c>
      <c r="Z20">
        <f>AVERAGEIF(Tabel2[maand],Tabel1[[#This Row],[maand2]],Tabel2[kenter import])</f>
        <v>20333</v>
      </c>
      <c r="AA20">
        <f>AVERAGEIF(Tabel2[maand],Tabel1[[#This Row],[maand2]],Tabel2[kenter export])</f>
        <v>9640.5</v>
      </c>
    </row>
    <row r="21" spans="5:27" x14ac:dyDescent="0.2">
      <c r="E21" s="2">
        <v>45505</v>
      </c>
      <c r="F21">
        <v>2024</v>
      </c>
      <c r="G21">
        <v>8</v>
      </c>
      <c r="H21">
        <f>Tabel2[[#This Row],[kwh pv paklokaal]]+Tabel2[[#This Row],[kwh pv stallen]] + Tabel2[[#This Row],[kwh pv nieuw]]</f>
        <v>46547.327391387691</v>
      </c>
      <c r="I21">
        <v>22073.63</v>
      </c>
      <c r="J21">
        <v>15374.47</v>
      </c>
      <c r="K21" cm="1">
        <f t="array" ref="K21">Tabel2[[#This Row],[kwh pv stallen]]/Tabel4[kwh stal]*Tabel4[kwh nieuw]</f>
        <v>9099.2273913876943</v>
      </c>
      <c r="L21">
        <v>28463.63</v>
      </c>
      <c r="M21">
        <v>21351</v>
      </c>
      <c r="N21" t="s">
        <v>18</v>
      </c>
      <c r="O21">
        <v>21933</v>
      </c>
      <c r="P21">
        <v>14018</v>
      </c>
      <c r="T21" s="3" t="s">
        <v>47</v>
      </c>
      <c r="U21">
        <v>10</v>
      </c>
      <c r="V21">
        <f>AVERAGEIF(Tabel2[maand],Tabel1[[#This Row],[maand2]],Tabel2[kwh pv total])</f>
        <v>16822.491469577493</v>
      </c>
      <c r="W21">
        <f>AVERAGEIF(Tabel2[maand],Tabel1[[#This Row],[maand2]],Tabel2[kwh pv paklokaal]) / SUM(Tabel2[kwh pv paklokaal]) * 100</f>
        <v>2.2867208219527457</v>
      </c>
      <c r="X21">
        <f>AVERAGEIF(Tabel2[maand],Tabel1[[#This Row],[maand2]],Tabel2[kwh pv stallen]) / SUM(Tabel2[kwh pv stallen])*100</f>
        <v>2.4330952678097746</v>
      </c>
      <c r="Y21">
        <f>AVERAGEIF(Tabel2[maand],Tabel1[[#This Row],[maand2]],Tabel2[kwh consumption])</f>
        <v>27975.044999999998</v>
      </c>
      <c r="Z21">
        <f>AVERAGEIF(Tabel2[maand],Tabel1[[#This Row],[maand2]],Tabel2[kenter import])</f>
        <v>23615.5</v>
      </c>
      <c r="AA21">
        <f>AVERAGEIF(Tabel2[maand],Tabel1[[#This Row],[maand2]],Tabel2[kenter export])</f>
        <v>3502</v>
      </c>
    </row>
    <row r="22" spans="5:27" x14ac:dyDescent="0.2">
      <c r="E22" s="2">
        <v>45536</v>
      </c>
      <c r="F22">
        <v>2024</v>
      </c>
      <c r="G22">
        <v>9</v>
      </c>
      <c r="H22">
        <f>Tabel2[[#This Row],[kwh pv paklokaal]]+Tabel2[[#This Row],[kwh pv stallen]] + Tabel2[[#This Row],[kwh pv nieuw]]</f>
        <v>31627.162329804163</v>
      </c>
      <c r="I22">
        <v>14440.67</v>
      </c>
      <c r="J22">
        <v>10796.62</v>
      </c>
      <c r="K22" cm="1">
        <f t="array" ref="K22">Tabel2[[#This Row],[kwh pv stallen]]/Tabel4[kwh stal]*Tabel4[kwh nieuw]</f>
        <v>6389.8723298041623</v>
      </c>
      <c r="L22">
        <v>26595.67</v>
      </c>
      <c r="M22">
        <v>21642</v>
      </c>
      <c r="N22" t="s">
        <v>19</v>
      </c>
      <c r="O22">
        <v>21777</v>
      </c>
      <c r="P22">
        <v>8924</v>
      </c>
      <c r="T22" s="3" t="s">
        <v>48</v>
      </c>
      <c r="U22">
        <v>11</v>
      </c>
      <c r="V22">
        <f>AVERAGEIF(Tabel2[maand],Tabel1[[#This Row],[maand2]],Tabel2[kwh pv total])</f>
        <v>8598.059299242057</v>
      </c>
      <c r="W22">
        <f>AVERAGEIF(Tabel2[maand],Tabel1[[#This Row],[maand2]],Tabel2[kwh pv paklokaal]) / SUM(Tabel2[kwh pv paklokaal]) * 100</f>
        <v>1.1062423170483497</v>
      </c>
      <c r="X22">
        <f>AVERAGEIF(Tabel2[maand],Tabel1[[#This Row],[maand2]],Tabel2[kwh pv stallen]) / SUM(Tabel2[kwh pv stallen])*100</f>
        <v>1.3009523907551144</v>
      </c>
      <c r="Y22">
        <f>AVERAGEIF(Tabel2[maand],Tabel1[[#This Row],[maand2]],Tabel2[kwh consumption])</f>
        <v>21453.8</v>
      </c>
      <c r="Z22">
        <f>AVERAGEIF(Tabel2[maand],Tabel1[[#This Row],[maand2]],Tabel2[kenter import])</f>
        <v>19308</v>
      </c>
      <c r="AA22">
        <f>AVERAGEIF(Tabel2[maand],Tabel1[[#This Row],[maand2]],Tabel2[kenter export])</f>
        <v>1451.5</v>
      </c>
    </row>
    <row r="23" spans="5:27" x14ac:dyDescent="0.2">
      <c r="E23" s="2">
        <v>45566</v>
      </c>
      <c r="F23">
        <v>2024</v>
      </c>
      <c r="G23">
        <v>10</v>
      </c>
      <c r="H23">
        <f>Tabel2[[#This Row],[kwh pv paklokaal]]+Tabel2[[#This Row],[kwh pv stallen]] + Tabel2[[#This Row],[kwh pv nieuw]]</f>
        <v>18777.005517892227</v>
      </c>
      <c r="I23">
        <v>8251.9500000000007</v>
      </c>
      <c r="J23">
        <v>6611.88</v>
      </c>
      <c r="K23" cm="1">
        <f t="array" ref="K23">Tabel2[[#This Row],[kwh pv stallen]]/Tabel4[kwh stal]*Tabel4[kwh nieuw]</f>
        <v>3913.1755178922244</v>
      </c>
      <c r="L23">
        <v>27546.95</v>
      </c>
      <c r="M23">
        <v>23737</v>
      </c>
      <c r="N23" t="s">
        <v>20</v>
      </c>
      <c r="O23">
        <v>24235</v>
      </c>
      <c r="P23">
        <v>4038</v>
      </c>
      <c r="T23" s="3" t="s">
        <v>49</v>
      </c>
      <c r="U23">
        <v>12</v>
      </c>
      <c r="V23">
        <f>AVERAGEIF(Tabel2[maand],Tabel1[[#This Row],[maand2]],Tabel2[kwh pv total])</f>
        <v>3899.5699878608457</v>
      </c>
      <c r="W23">
        <f>AVERAGEIF(Tabel2[maand],Tabel1[[#This Row],[maand2]],Tabel2[kwh pv paklokaal]) / SUM(Tabel2[kwh pv paklokaal]) * 100</f>
        <v>0.57434323741037818</v>
      </c>
      <c r="X23">
        <f>AVERAGEIF(Tabel2[maand],Tabel1[[#This Row],[maand2]],Tabel2[kwh pv stallen]) / SUM(Tabel2[kwh pv stallen])*100</f>
        <v>0.52337317960930818</v>
      </c>
      <c r="Y23">
        <f>AVERAGEIF(Tabel2[maand],Tabel1[[#This Row],[maand2]],Tabel2[kwh consumption])</f>
        <v>27344.46</v>
      </c>
      <c r="Z23">
        <f>AVERAGEIF(Tabel2[maand],Tabel1[[#This Row],[maand2]],Tabel2[kenter import])</f>
        <v>25540</v>
      </c>
      <c r="AA23">
        <f>AVERAGEIF(Tabel2[maand],Tabel1[[#This Row],[maand2]],Tabel2[kenter export])</f>
        <v>214</v>
      </c>
    </row>
    <row r="24" spans="5:27" x14ac:dyDescent="0.2">
      <c r="E24" s="2">
        <v>45597</v>
      </c>
      <c r="F24">
        <v>2024</v>
      </c>
      <c r="G24">
        <v>11</v>
      </c>
      <c r="H24">
        <f>Tabel2[[#This Row],[kwh pv paklokaal]]+Tabel2[[#This Row],[kwh pv stallen]] + Tabel2[[#This Row],[kwh pv nieuw]]</f>
        <v>8635.0673945656199</v>
      </c>
      <c r="I24">
        <v>3546.48</v>
      </c>
      <c r="J24">
        <v>3196.67</v>
      </c>
      <c r="K24" cm="1">
        <f t="array" ref="K24">Tabel2[[#This Row],[kwh pv stallen]]/Tabel4[kwh stal]*Tabel4[kwh nieuw]</f>
        <v>1891.9173945656207</v>
      </c>
      <c r="L24">
        <v>25650.48</v>
      </c>
      <c r="M24">
        <v>23661</v>
      </c>
      <c r="N24" t="s">
        <v>21</v>
      </c>
      <c r="O24">
        <v>24104</v>
      </c>
      <c r="P24">
        <v>1365</v>
      </c>
    </row>
    <row r="25" spans="5:27" x14ac:dyDescent="0.2">
      <c r="E25" s="2">
        <v>45627</v>
      </c>
      <c r="F25">
        <v>2024</v>
      </c>
      <c r="G25">
        <v>12</v>
      </c>
      <c r="H25">
        <f>Tabel2[[#This Row],[kwh pv paklokaal]]+Tabel2[[#This Row],[kwh pv stallen]] + Tabel2[[#This Row],[kwh pv nieuw]]</f>
        <v>3733.2518701631548</v>
      </c>
      <c r="I25">
        <v>1866.31</v>
      </c>
      <c r="J25">
        <v>1172.82</v>
      </c>
      <c r="K25" cm="1">
        <f t="array" ref="K25">Tabel2[[#This Row],[kwh pv stallen]]/Tabel4[kwh stal]*Tabel4[kwh nieuw]</f>
        <v>694.12187016315454</v>
      </c>
      <c r="L25">
        <v>33318.31</v>
      </c>
      <c r="M25">
        <v>31630</v>
      </c>
      <c r="N25" t="s">
        <v>22</v>
      </c>
      <c r="O25">
        <v>31684</v>
      </c>
      <c r="P25">
        <v>151</v>
      </c>
    </row>
    <row r="26" spans="5:27" x14ac:dyDescent="0.2">
      <c r="E26" s="2">
        <v>45658</v>
      </c>
      <c r="F26">
        <v>2025</v>
      </c>
      <c r="G26">
        <v>1</v>
      </c>
      <c r="H26">
        <f>Tabel2[[#This Row],[kwh pv paklokaal]]+Tabel2[[#This Row],[kwh pv stallen]] + Tabel2[[#This Row],[kwh pv nieuw]]</f>
        <v>7516.695095472809</v>
      </c>
      <c r="I26">
        <v>3233.34</v>
      </c>
      <c r="J26">
        <v>2690.82</v>
      </c>
      <c r="K26" cm="1">
        <f t="array" ref="K26">Tabel2[[#This Row],[kwh pv stallen]]/Tabel4[kwh stal]*Tabel4[kwh nieuw]</f>
        <v>1592.535095472809</v>
      </c>
      <c r="L26">
        <v>27978.34</v>
      </c>
      <c r="M26">
        <v>25807</v>
      </c>
      <c r="N26" t="s">
        <v>23</v>
      </c>
      <c r="O26">
        <v>25693</v>
      </c>
      <c r="P26">
        <v>986</v>
      </c>
    </row>
    <row r="27" spans="5:27" x14ac:dyDescent="0.2">
      <c r="E27" s="2">
        <v>45689</v>
      </c>
      <c r="F27">
        <v>2025</v>
      </c>
      <c r="G27">
        <v>2</v>
      </c>
      <c r="H27">
        <f>Tabel2[[#This Row],[kwh pv paklokaal]]+Tabel2[[#This Row],[kwh pv stallen]] + Tabel2[[#This Row],[kwh pv nieuw]]</f>
        <v>16054.998137762354</v>
      </c>
      <c r="I27">
        <v>6909.67</v>
      </c>
      <c r="J27">
        <v>5745.13</v>
      </c>
      <c r="K27" cm="1">
        <f t="array" ref="K27">Tabel2[[#This Row],[kwh pv stallen]]/Tabel4[kwh stal]*Tabel4[kwh nieuw]</f>
        <v>3400.1981377623542</v>
      </c>
      <c r="L27">
        <v>20682.669999999998</v>
      </c>
      <c r="M27">
        <v>18521</v>
      </c>
      <c r="N27" t="s">
        <v>24</v>
      </c>
      <c r="O27">
        <v>18250</v>
      </c>
      <c r="P27">
        <v>4534</v>
      </c>
    </row>
    <row r="28" spans="5:27" x14ac:dyDescent="0.2">
      <c r="E28" s="2">
        <v>45717</v>
      </c>
      <c r="F28">
        <v>2025</v>
      </c>
      <c r="G28">
        <v>3</v>
      </c>
      <c r="H28">
        <f>Tabel2[[#This Row],[kwh pv paklokaal]]+Tabel2[[#This Row],[kwh pv stallen]] + Tabel2[[#This Row],[kwh pv nieuw]]</f>
        <v>40367.54217712229</v>
      </c>
      <c r="I28">
        <v>17506.14</v>
      </c>
      <c r="J28">
        <v>14361.62</v>
      </c>
      <c r="K28" cm="1">
        <f t="array" ref="K28">Tabel2[[#This Row],[kwh pv stallen]]/Tabel4[kwh stal]*Tabel4[kwh nieuw]</f>
        <v>8499.7821771222898</v>
      </c>
      <c r="L28">
        <v>16586.14</v>
      </c>
      <c r="M28">
        <v>15848</v>
      </c>
      <c r="N28" t="s">
        <v>25</v>
      </c>
      <c r="O28">
        <v>15260</v>
      </c>
      <c r="P28">
        <v>16211</v>
      </c>
    </row>
    <row r="29" spans="5:27" x14ac:dyDescent="0.2">
      <c r="E29" s="2">
        <v>45748</v>
      </c>
      <c r="F29">
        <v>2025</v>
      </c>
      <c r="G29">
        <v>4</v>
      </c>
      <c r="H29">
        <f>Tabel2[[#This Row],[kwh pv paklokaal]]+Tabel2[[#This Row],[kwh pv stallen]] + Tabel2[[#This Row],[kwh pv nieuw]]</f>
        <v>47432.619941047582</v>
      </c>
      <c r="I29">
        <v>22131.5</v>
      </c>
      <c r="J29">
        <v>15894.26</v>
      </c>
      <c r="K29" cm="1">
        <f t="array" ref="K29">Tabel2[[#This Row],[kwh pv stallen]]/Tabel4[kwh stal]*Tabel4[kwh nieuw]</f>
        <v>9406.8599410475781</v>
      </c>
      <c r="L29">
        <v>21503.5</v>
      </c>
      <c r="M29">
        <v>18381</v>
      </c>
      <c r="N29" t="s">
        <v>26</v>
      </c>
      <c r="O29">
        <v>18005</v>
      </c>
      <c r="P29">
        <v>18453</v>
      </c>
    </row>
    <row r="30" spans="5:27" x14ac:dyDescent="0.2">
      <c r="E30" s="2">
        <v>45778</v>
      </c>
      <c r="F30">
        <v>2025</v>
      </c>
      <c r="G30">
        <v>5</v>
      </c>
      <c r="H30">
        <f>Tabel2[[#This Row],[kwh pv paklokaal]]+Tabel2[[#This Row],[kwh pv stallen]] + Tabel2[[#This Row],[kwh pv nieuw]]</f>
        <v>57137.881857580112</v>
      </c>
      <c r="I30">
        <v>27804.44</v>
      </c>
      <c r="J30">
        <v>18427.38</v>
      </c>
      <c r="K30" cm="1">
        <f t="array" ref="K30">Tabel2[[#This Row],[kwh pv stallen]]/Tabel4[kwh stal]*Tabel4[kwh nieuw]</f>
        <v>10906.061857580116</v>
      </c>
      <c r="L30">
        <v>26294.44</v>
      </c>
      <c r="M30">
        <v>19516</v>
      </c>
      <c r="N30" t="s">
        <v>27</v>
      </c>
      <c r="O30">
        <v>18773</v>
      </c>
      <c r="P30">
        <v>20280</v>
      </c>
    </row>
    <row r="31" spans="5:27" x14ac:dyDescent="0.2">
      <c r="E31" s="2">
        <v>45809</v>
      </c>
      <c r="F31">
        <v>2025</v>
      </c>
      <c r="G31">
        <v>6</v>
      </c>
      <c r="H31">
        <f>Tabel2[[#This Row],[kwh pv paklokaal]]+Tabel2[[#This Row],[kwh pv stallen]] + Tabel2[[#This Row],[kwh pv nieuw]]</f>
        <v>51366.945840908244</v>
      </c>
      <c r="I31">
        <v>25977.24</v>
      </c>
      <c r="J31">
        <v>15949.91</v>
      </c>
      <c r="K31" cm="1">
        <f t="array" ref="K31">Tabel2[[#This Row],[kwh pv stallen]]/Tabel4[kwh stal]*Tabel4[kwh nieuw]</f>
        <v>9439.7958409082385</v>
      </c>
      <c r="L31">
        <v>20707.240000000002</v>
      </c>
      <c r="M31">
        <v>15039</v>
      </c>
      <c r="N31" t="s">
        <v>28</v>
      </c>
      <c r="O31">
        <v>14384</v>
      </c>
      <c r="P31">
        <v>19889</v>
      </c>
    </row>
    <row r="32" spans="5:27" x14ac:dyDescent="0.2">
      <c r="E32" s="2">
        <v>45839</v>
      </c>
      <c r="F32">
        <v>2025</v>
      </c>
      <c r="G32">
        <v>7</v>
      </c>
      <c r="H32">
        <f>Tabel2[[#This Row],[kwh pv paklokaal]]+Tabel2[[#This Row],[kwh pv stallen]] + Tabel2[[#This Row],[kwh pv nieuw]]</f>
        <v>46910.468045872753</v>
      </c>
      <c r="I32">
        <v>23683.07</v>
      </c>
      <c r="J32">
        <v>14591.54</v>
      </c>
      <c r="K32" cm="1">
        <f t="array" ref="K32">Tabel2[[#This Row],[kwh pv stallen]]/Tabel4[kwh stal]*Tabel4[kwh nieuw]</f>
        <v>8635.8580458727502</v>
      </c>
      <c r="L32">
        <v>17531.43</v>
      </c>
      <c r="M32">
        <v>13610</v>
      </c>
      <c r="N32" t="s">
        <v>29</v>
      </c>
      <c r="O32">
        <v>13309</v>
      </c>
      <c r="P32">
        <v>19362</v>
      </c>
    </row>
    <row r="33" spans="5:16" x14ac:dyDescent="0.2">
      <c r="E33" s="2">
        <v>45870</v>
      </c>
      <c r="F33">
        <v>2025</v>
      </c>
      <c r="G33">
        <v>8</v>
      </c>
      <c r="H33">
        <f>Tabel2[[#This Row],[kwh pv paklokaal]]+Tabel2[[#This Row],[kwh pv stallen]] + Tabel2[[#This Row],[kwh pv nieuw]]</f>
        <v>44466.74427982713</v>
      </c>
      <c r="I33">
        <v>21965.48</v>
      </c>
      <c r="J33">
        <v>14135.38</v>
      </c>
      <c r="K33" cm="1">
        <f t="array" ref="K33">Tabel2[[#This Row],[kwh pv stallen]]/Tabel4[kwh stal]*Tabel4[kwh nieuw]</f>
        <v>8365.8842798271271</v>
      </c>
      <c r="L33">
        <v>18605.02</v>
      </c>
      <c r="M33">
        <v>14942</v>
      </c>
      <c r="N33" t="s">
        <v>30</v>
      </c>
      <c r="O33">
        <v>14596</v>
      </c>
      <c r="P33">
        <v>18041</v>
      </c>
    </row>
    <row r="34" spans="5:16" x14ac:dyDescent="0.2">
      <c r="E34" s="2">
        <v>45901</v>
      </c>
      <c r="F34">
        <v>2025</v>
      </c>
      <c r="G34">
        <v>9</v>
      </c>
      <c r="H34">
        <f>Tabel2[[#This Row],[kwh pv paklokaal]]+Tabel2[[#This Row],[kwh pv stallen]] + Tabel2[[#This Row],[kwh pv nieuw]]</f>
        <v>30762.945304250828</v>
      </c>
      <c r="I34">
        <v>14786.92</v>
      </c>
      <c r="J34">
        <v>10036.200000000001</v>
      </c>
      <c r="K34" cm="1">
        <f t="array" ref="K34">Tabel2[[#This Row],[kwh pv stallen]]/Tabel4[kwh stal]*Tabel4[kwh nieuw]</f>
        <v>5939.825304250825</v>
      </c>
      <c r="L34">
        <v>24181.919999999998</v>
      </c>
      <c r="M34">
        <v>19840</v>
      </c>
      <c r="N34" t="s">
        <v>31</v>
      </c>
      <c r="O34">
        <v>18889</v>
      </c>
      <c r="P34">
        <v>10357</v>
      </c>
    </row>
    <row r="35" spans="5:16" x14ac:dyDescent="0.2">
      <c r="E35" s="2">
        <v>45931</v>
      </c>
      <c r="F35">
        <v>2025</v>
      </c>
      <c r="G35">
        <v>10</v>
      </c>
      <c r="H35">
        <f>Tabel2[[#This Row],[kwh pv paklokaal]]+Tabel2[[#This Row],[kwh pv stallen]] + Tabel2[[#This Row],[kwh pv nieuw]]</f>
        <v>14867.977421262756</v>
      </c>
      <c r="I35">
        <v>7331.14</v>
      </c>
      <c r="J35">
        <v>4734.67</v>
      </c>
      <c r="K35" cm="1">
        <f t="array" ref="K35">Tabel2[[#This Row],[kwh pv stallen]]/Tabel4[kwh stal]*Tabel4[kwh nieuw]</f>
        <v>2802.167421262754</v>
      </c>
      <c r="L35">
        <v>28403.14</v>
      </c>
      <c r="M35">
        <v>24042</v>
      </c>
      <c r="N35" t="s">
        <v>32</v>
      </c>
      <c r="O35">
        <v>22996</v>
      </c>
      <c r="P35">
        <v>2966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huwaei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Harink</dc:creator>
  <cp:lastModifiedBy>Thijs Harink</cp:lastModifiedBy>
  <dcterms:created xsi:type="dcterms:W3CDTF">2025-11-24T14:37:26Z</dcterms:created>
  <dcterms:modified xsi:type="dcterms:W3CDTF">2025-11-25T12:49:53Z</dcterms:modified>
</cp:coreProperties>
</file>